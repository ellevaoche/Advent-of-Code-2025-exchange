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304541\SOURCE\advent-of-code-2023-robert-kiss\exercises\day06\robert.kiss\"/>
    </mc:Choice>
  </mc:AlternateContent>
  <xr:revisionPtr revIDLastSave="0" documentId="8_{EA5AE2FF-EA15-44D0-B97A-49150033ABE1}" xr6:coauthVersionLast="47" xr6:coauthVersionMax="47" xr10:uidLastSave="{00000000-0000-0000-0000-000000000000}"/>
  <bookViews>
    <workbookView xWindow="-120" yWindow="-120" windowWidth="38640" windowHeight="21120" xr2:uid="{14CD7DB1-FD66-48C2-9DF6-9378DC152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G18" i="1"/>
  <c r="F18" i="1"/>
  <c r="G17" i="1"/>
  <c r="F17" i="1"/>
  <c r="G16" i="1"/>
  <c r="F16" i="1"/>
  <c r="G15" i="1"/>
  <c r="F15" i="1"/>
  <c r="G10" i="1"/>
  <c r="F10" i="1"/>
  <c r="G6" i="1"/>
  <c r="G5" i="1"/>
  <c r="G4" i="1"/>
  <c r="F6" i="1"/>
  <c r="F5" i="1"/>
  <c r="F4" i="1"/>
  <c r="C22" i="1"/>
  <c r="E22" i="1" s="1"/>
  <c r="C10" i="1"/>
  <c r="E10" i="1" s="1"/>
  <c r="C18" i="1"/>
  <c r="E18" i="1" s="1"/>
  <c r="C17" i="1"/>
  <c r="E17" i="1" s="1"/>
  <c r="C16" i="1"/>
  <c r="E16" i="1" s="1"/>
  <c r="C15" i="1"/>
  <c r="D15" i="1" s="1"/>
  <c r="C6" i="1"/>
  <c r="E6" i="1" s="1"/>
  <c r="C5" i="1"/>
  <c r="E5" i="1" s="1"/>
  <c r="C4" i="1"/>
  <c r="E4" i="1" s="1"/>
  <c r="D4" i="1" l="1"/>
  <c r="H4" i="1" s="1"/>
  <c r="D22" i="1"/>
  <c r="H22" i="1" s="1"/>
  <c r="D10" i="1"/>
  <c r="H10" i="1" s="1"/>
  <c r="D18" i="1"/>
  <c r="H18" i="1" s="1"/>
  <c r="D17" i="1"/>
  <c r="H17" i="1" s="1"/>
  <c r="D16" i="1"/>
  <c r="H16" i="1" s="1"/>
  <c r="E15" i="1"/>
  <c r="H15" i="1" s="1"/>
  <c r="D6" i="1"/>
  <c r="H6" i="1" s="1"/>
  <c r="D5" i="1"/>
  <c r="H5" i="1" s="1"/>
  <c r="H7" i="1" l="1"/>
  <c r="H19" i="1"/>
</calcChain>
</file>

<file path=xl/sharedStrings.xml><?xml version="1.0" encoding="utf-8"?>
<sst xmlns="http://schemas.openxmlformats.org/spreadsheetml/2006/main" count="32" uniqueCount="11">
  <si>
    <t>T</t>
  </si>
  <si>
    <t>D</t>
  </si>
  <si>
    <t>x1</t>
  </si>
  <si>
    <t>x2</t>
  </si>
  <si>
    <t>x1_int</t>
  </si>
  <si>
    <t>x2_int</t>
  </si>
  <si>
    <t>sample input - part1</t>
  </si>
  <si>
    <t>sample input - part2</t>
  </si>
  <si>
    <t>real input - part1</t>
  </si>
  <si>
    <t>real input - part2</t>
  </si>
  <si>
    <t>discriminant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</si>
</sst>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9741-F8E2-40AA-840E-EC4CE3DBD974}">
  <dimension ref="A2:H22"/>
  <sheetViews>
    <sheetView tabSelected="1" workbookViewId="0">
      <selection activeCell="A24" sqref="A24"/>
    </sheetView>
  </sheetViews>
  <sheetFormatPr defaultRowHeight="15" x14ac:dyDescent="0.25"/>
  <cols>
    <col min="1" max="1" width="9.140625" style="1"/>
    <col min="2" max="2" width="19" style="1" customWidth="1"/>
    <col min="3" max="3" width="21" style="1" customWidth="1"/>
    <col min="4" max="7" width="9.140625" style="1"/>
    <col min="8" max="8" width="12.28515625" style="1" customWidth="1"/>
    <col min="9" max="16384" width="9.140625" style="1"/>
  </cols>
  <sheetData>
    <row r="2" spans="1:8" ht="18.75" x14ac:dyDescent="0.25">
      <c r="A2" s="2" t="s">
        <v>6</v>
      </c>
    </row>
    <row r="3" spans="1:8" x14ac:dyDescent="0.25">
      <c r="A3" s="1" t="s">
        <v>0</v>
      </c>
      <c r="B3" s="1" t="s">
        <v>1</v>
      </c>
      <c r="C3" s="1" t="s">
        <v>10</v>
      </c>
      <c r="D3" s="1" t="s">
        <v>2</v>
      </c>
      <c r="E3" s="1" t="s">
        <v>3</v>
      </c>
      <c r="F3" s="1" t="s">
        <v>4</v>
      </c>
      <c r="G3" s="1" t="s">
        <v>5</v>
      </c>
    </row>
    <row r="4" spans="1:8" x14ac:dyDescent="0.25">
      <c r="A4" s="1">
        <v>7</v>
      </c>
      <c r="B4" s="1">
        <v>9</v>
      </c>
      <c r="C4" s="1">
        <f>A4*A4-4*B4</f>
        <v>13</v>
      </c>
      <c r="D4" s="1">
        <f>($A4-SQRT($C4))/2</f>
        <v>1.6972243622680054</v>
      </c>
      <c r="E4" s="1">
        <f>($A4+SQRT($C4))/2</f>
        <v>5.3027756377319948</v>
      </c>
      <c r="F4" s="1">
        <f>ROUNDUP(D4+0.0001,0)</f>
        <v>2</v>
      </c>
      <c r="G4" s="1">
        <f>ROUNDDOWN(E4-0.0001,0)</f>
        <v>5</v>
      </c>
      <c r="H4" s="1">
        <f>G4-F4+1</f>
        <v>4</v>
      </c>
    </row>
    <row r="5" spans="1:8" x14ac:dyDescent="0.25">
      <c r="A5" s="1">
        <v>15</v>
      </c>
      <c r="B5" s="1">
        <v>40</v>
      </c>
      <c r="C5" s="1">
        <f>A5*A5-4*B5</f>
        <v>65</v>
      </c>
      <c r="D5" s="1">
        <f>($A5-SQRT($C5))/2</f>
        <v>3.4688711258507254</v>
      </c>
      <c r="E5" s="1">
        <f>($A5+SQRT($C5))/2</f>
        <v>11.531128874149275</v>
      </c>
      <c r="F5" s="1">
        <f>ROUNDUP(D5+0.0001,0)</f>
        <v>4</v>
      </c>
      <c r="G5" s="1">
        <f>ROUNDDOWN(E5-0.0001,0)</f>
        <v>11</v>
      </c>
      <c r="H5" s="1">
        <f>G5-F5+1</f>
        <v>8</v>
      </c>
    </row>
    <row r="6" spans="1:8" x14ac:dyDescent="0.25">
      <c r="A6" s="1">
        <v>30</v>
      </c>
      <c r="B6" s="1">
        <v>200</v>
      </c>
      <c r="C6" s="1">
        <f>A6*A6-4*B6</f>
        <v>100</v>
      </c>
      <c r="D6" s="1">
        <f>($A6-SQRT($C6))/2</f>
        <v>10</v>
      </c>
      <c r="E6" s="1">
        <f>($A6+SQRT($C6))/2</f>
        <v>20</v>
      </c>
      <c r="F6" s="1">
        <f>ROUNDUP(D6+0.0001,0)</f>
        <v>11</v>
      </c>
      <c r="G6" s="1">
        <f>ROUNDDOWN(E6-0.0001,0)</f>
        <v>19</v>
      </c>
      <c r="H6" s="1">
        <f>G6-F6+1</f>
        <v>9</v>
      </c>
    </row>
    <row r="7" spans="1:8" x14ac:dyDescent="0.25">
      <c r="H7" s="3">
        <f>H4*H5*H6</f>
        <v>288</v>
      </c>
    </row>
    <row r="8" spans="1:8" ht="18.75" x14ac:dyDescent="0.25">
      <c r="A8" s="2" t="s">
        <v>7</v>
      </c>
    </row>
    <row r="9" spans="1:8" x14ac:dyDescent="0.25">
      <c r="A9" s="1" t="s">
        <v>0</v>
      </c>
      <c r="B9" s="1" t="s">
        <v>1</v>
      </c>
      <c r="C9" s="1" t="s">
        <v>10</v>
      </c>
      <c r="D9" s="1" t="s">
        <v>2</v>
      </c>
      <c r="E9" s="1" t="s">
        <v>3</v>
      </c>
      <c r="F9" s="1" t="s">
        <v>4</v>
      </c>
      <c r="G9" s="1" t="s">
        <v>5</v>
      </c>
    </row>
    <row r="10" spans="1:8" x14ac:dyDescent="0.25">
      <c r="A10" s="1">
        <v>71530</v>
      </c>
      <c r="B10" s="1">
        <v>940200</v>
      </c>
      <c r="C10" s="1">
        <f>A10*A10-4*B10</f>
        <v>5112780100</v>
      </c>
      <c r="D10" s="1">
        <f>($A10-SQRT($C10))/2</f>
        <v>13.146551542253292</v>
      </c>
      <c r="E10" s="1">
        <f>($A10+SQRT($C10))/2</f>
        <v>71516.853448457754</v>
      </c>
      <c r="F10" s="1">
        <f>ROUNDUP(D10+0.0001,0)</f>
        <v>14</v>
      </c>
      <c r="G10" s="1">
        <f>ROUNDDOWN(E10-0.0001,0)</f>
        <v>71516</v>
      </c>
      <c r="H10" s="3">
        <f>G10-F10+1</f>
        <v>71503</v>
      </c>
    </row>
    <row r="13" spans="1:8" ht="18.75" x14ac:dyDescent="0.25">
      <c r="A13" s="2" t="s">
        <v>8</v>
      </c>
    </row>
    <row r="14" spans="1:8" x14ac:dyDescent="0.25">
      <c r="A14" s="1" t="s">
        <v>0</v>
      </c>
      <c r="B14" s="1" t="s">
        <v>1</v>
      </c>
      <c r="C14" s="1" t="s">
        <v>10</v>
      </c>
      <c r="D14" s="1" t="s">
        <v>2</v>
      </c>
      <c r="E14" s="1" t="s">
        <v>3</v>
      </c>
      <c r="F14" s="1" t="s">
        <v>4</v>
      </c>
      <c r="G14" s="1" t="s">
        <v>5</v>
      </c>
    </row>
    <row r="15" spans="1:8" x14ac:dyDescent="0.25">
      <c r="A15" s="1">
        <v>53</v>
      </c>
      <c r="B15" s="1">
        <v>275</v>
      </c>
      <c r="C15" s="1">
        <f>A15*A15-4*B15</f>
        <v>1709</v>
      </c>
      <c r="D15" s="1">
        <f>($A15-SQRT($C15))/2</f>
        <v>5.8299733914056127</v>
      </c>
      <c r="E15" s="1">
        <f>($A15+SQRT($C15))/2</f>
        <v>47.170026608594384</v>
      </c>
      <c r="F15" s="1">
        <f>ROUNDUP(D15+0.0001,0)</f>
        <v>6</v>
      </c>
      <c r="G15" s="1">
        <f>ROUNDDOWN(E15-0.0001,0)</f>
        <v>47</v>
      </c>
      <c r="H15" s="1">
        <f>G15-F15+1</f>
        <v>42</v>
      </c>
    </row>
    <row r="16" spans="1:8" x14ac:dyDescent="0.25">
      <c r="A16" s="1">
        <v>71</v>
      </c>
      <c r="B16" s="1">
        <v>1181</v>
      </c>
      <c r="C16" s="1">
        <f>A16*A16-4*B16</f>
        <v>317</v>
      </c>
      <c r="D16" s="1">
        <f>($A16-SQRT($C16))/2</f>
        <v>26.597753092617573</v>
      </c>
      <c r="E16" s="1">
        <f>($A16+SQRT($C16))/2</f>
        <v>44.402246907382427</v>
      </c>
      <c r="F16" s="1">
        <f>ROUNDUP(D16+0.0001,0)</f>
        <v>27</v>
      </c>
      <c r="G16" s="1">
        <f>ROUNDDOWN(E16-0.0001,0)</f>
        <v>44</v>
      </c>
      <c r="H16" s="1">
        <f>G16-F16+1</f>
        <v>18</v>
      </c>
    </row>
    <row r="17" spans="1:8" x14ac:dyDescent="0.25">
      <c r="A17" s="1">
        <v>78</v>
      </c>
      <c r="B17" s="1">
        <v>1215</v>
      </c>
      <c r="C17" s="1">
        <f>A17*A17-4*B17</f>
        <v>1224</v>
      </c>
      <c r="D17" s="1">
        <f>($A17-SQRT($C17))/2</f>
        <v>21.5071443154641</v>
      </c>
      <c r="E17" s="1">
        <f>($A17+SQRT($C17))/2</f>
        <v>56.492855684535897</v>
      </c>
      <c r="F17" s="1">
        <f>ROUNDUP(D17+0.0001,0)</f>
        <v>22</v>
      </c>
      <c r="G17" s="1">
        <f>ROUNDDOWN(E17-0.0001,0)</f>
        <v>56</v>
      </c>
      <c r="H17" s="1">
        <f>G17-F17+1</f>
        <v>35</v>
      </c>
    </row>
    <row r="18" spans="1:8" x14ac:dyDescent="0.25">
      <c r="A18" s="1">
        <v>80</v>
      </c>
      <c r="B18" s="1">
        <v>1524</v>
      </c>
      <c r="C18" s="1">
        <f>A18*A18-4*B18</f>
        <v>304</v>
      </c>
      <c r="D18" s="1">
        <f>($A18-SQRT($C18))/2</f>
        <v>31.282202112918654</v>
      </c>
      <c r="E18" s="1">
        <f>($A18+SQRT($C18))/2</f>
        <v>48.717797887081346</v>
      </c>
      <c r="F18" s="1">
        <f>ROUNDUP(D18+0.0001,0)</f>
        <v>32</v>
      </c>
      <c r="G18" s="1">
        <f>ROUNDDOWN(E18-0.0001,0)</f>
        <v>48</v>
      </c>
      <c r="H18" s="1">
        <f>G18-F18+1</f>
        <v>17</v>
      </c>
    </row>
    <row r="19" spans="1:8" x14ac:dyDescent="0.25">
      <c r="H19" s="3">
        <f>H15*H16*H17*H18</f>
        <v>449820</v>
      </c>
    </row>
    <row r="20" spans="1:8" ht="18.75" x14ac:dyDescent="0.25">
      <c r="A20" s="2" t="s">
        <v>9</v>
      </c>
    </row>
    <row r="21" spans="1:8" x14ac:dyDescent="0.25">
      <c r="A21" s="1" t="s">
        <v>0</v>
      </c>
      <c r="B21" s="1" t="s">
        <v>1</v>
      </c>
      <c r="C21" s="1" t="s">
        <v>10</v>
      </c>
      <c r="D21" s="1" t="s">
        <v>2</v>
      </c>
      <c r="E21" s="1" t="s">
        <v>3</v>
      </c>
      <c r="F21" s="1" t="s">
        <v>4</v>
      </c>
      <c r="G21" s="1" t="s">
        <v>5</v>
      </c>
    </row>
    <row r="22" spans="1:8" x14ac:dyDescent="0.25">
      <c r="A22" s="1">
        <v>53717880</v>
      </c>
      <c r="B22" s="1">
        <v>275118112151524</v>
      </c>
      <c r="C22" s="1">
        <f>A22*A22-4*B22</f>
        <v>1785138183088304</v>
      </c>
      <c r="D22" s="1">
        <f>($A22-SQRT($C22))/2</f>
        <v>5733492.1758217886</v>
      </c>
      <c r="E22" s="1">
        <f>($A22+SQRT($C22))/2</f>
        <v>47984387.824178211</v>
      </c>
      <c r="F22" s="1">
        <f>ROUNDUP(D22+0.0001,0)</f>
        <v>5733493</v>
      </c>
      <c r="G22" s="1">
        <f>ROUNDDOWN(E22-0.0001,0)</f>
        <v>47984387</v>
      </c>
      <c r="H22" s="3">
        <f>G22-F22+1</f>
        <v>42250895</v>
      </c>
    </row>
  </sheetData>
  <pageMargins left="0.7" right="0.7" top="0.75" bottom="0.75" header="0.3" footer="0.3"/>
  <pageSetup paperSize="327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Kiss, Róbert</dc:creator>
  <cp:lastModifiedBy>Kiss, Róbert</cp:lastModifiedBy>
  <dcterms:created xsi:type="dcterms:W3CDTF">2023-12-06T06:57:54Z</dcterms:created>
  <dcterms:modified xsi:type="dcterms:W3CDTF">2023-12-06T07:20:14Z</dcterms:modified>
</cp:coreProperties>
</file>